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d843d15c0ee153f/Desktop/portfolio_project/Webstore_Accounting/Ebay_data/"/>
    </mc:Choice>
  </mc:AlternateContent>
  <xr:revisionPtr revIDLastSave="3817" documentId="13_ncr:40009_{075E243C-9AB7-40E9-811B-EFEB274316A0}" xr6:coauthVersionLast="47" xr6:coauthVersionMax="47" xr10:uidLastSave="{107FFF60-C436-4B53-8C41-61EEDFE09401}"/>
  <bookViews>
    <workbookView xWindow="-120" yWindow="-120" windowWidth="29040" windowHeight="15840" xr2:uid="{00000000-000D-0000-FFFF-FFFF00000000}"/>
  </bookViews>
  <sheets>
    <sheet name="ebay_sales" sheetId="1" r:id="rId1"/>
    <sheet name="ledge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  <c r="G7" i="1"/>
  <c r="G6" i="1"/>
  <c r="R5" i="1"/>
  <c r="R4" i="1"/>
  <c r="R3" i="1"/>
</calcChain>
</file>

<file path=xl/sharedStrings.xml><?xml version="1.0" encoding="utf-8"?>
<sst xmlns="http://schemas.openxmlformats.org/spreadsheetml/2006/main" count="139" uniqueCount="131">
  <si>
    <t>Warhammer Age of Sigmar Orruk Warclans Breaka-Boss on Mirebrute Troggoth</t>
  </si>
  <si>
    <t>Warhammer High Elf Lord</t>
  </si>
  <si>
    <t>Warhammer Adeptus Sororitas Penitent Engine</t>
  </si>
  <si>
    <t>Warhammer Chaos Warriors 6x</t>
  </si>
  <si>
    <t>Mantic Skeletons 10x</t>
  </si>
  <si>
    <t>Dark Elf Supreme Sorceress Blister Warhammer AOS NIB</t>
  </si>
  <si>
    <t>Warhammer Beastmen Command Metal</t>
  </si>
  <si>
    <t>Warhammer Space Marine Scouts Metal 5x</t>
  </si>
  <si>
    <t>Games Workshop Warhammer Age of Sigmar Stormcast Eternals Vanguard-raptors 6...</t>
  </si>
  <si>
    <t>Warhammer Skaven Weapon Team Metal</t>
  </si>
  <si>
    <t>Witch Aelves / Sisters of Slaughter Daughters of Khaine Warhammer Age of Sigmar</t>
  </si>
  <si>
    <t>warhammer dwarf canon</t>
  </si>
  <si>
    <t>Warhammer Skeletons 20x</t>
  </si>
  <si>
    <t>Warhammer Fantasy Dark Elves Supplement</t>
  </si>
  <si>
    <t>Warhammer Dwarf Organ Gun</t>
  </si>
  <si>
    <t>Warhammer Stormcast Judicators 5x Painted</t>
  </si>
  <si>
    <t>Games Workshop Orruk Warclains Marshcrawla Sloggoth Miniature</t>
  </si>
  <si>
    <t>Warhammer Undead King</t>
  </si>
  <si>
    <t>Warhammer Dark Elf Black Guard 18x</t>
  </si>
  <si>
    <t>Magic The Gathering In mustard Coven Counters Commander</t>
  </si>
  <si>
    <t>Warhammer Beastman Shaman</t>
  </si>
  <si>
    <t>Warhammer Dwarf Bolt Thrower Metal</t>
  </si>
  <si>
    <t>Warhammer Dwarf Catapult Metal</t>
  </si>
  <si>
    <t>Warhammer High Elf Archers 16</t>
  </si>
  <si>
    <t>Warhammer Dark Elf Sorceress Metal</t>
  </si>
  <si>
    <t>Games Workshop Orruk Warclans Swampboss Skumdrekk Miniature - 99120209074</t>
  </si>
  <si>
    <t>British Army starter set Black Powder Warlord Games Incomplete</t>
  </si>
  <si>
    <t xml:space="preserve">Warhammer Stormcast Paladins </t>
  </si>
  <si>
    <t>Warhammer Ultra Marine Tactical Squad</t>
  </si>
  <si>
    <t xml:space="preserve">Warhammer Terminator Squad 5x Space Marine </t>
  </si>
  <si>
    <t>warhammer dwarf engineer</t>
  </si>
  <si>
    <t>Warhammer Dark Elf Crossbow  9x</t>
  </si>
  <si>
    <t>Warhammer Dark Elf Dark Riders</t>
  </si>
  <si>
    <t>Games Workshop Warhammer Dark Elves Dreadspears - 99120212006</t>
  </si>
  <si>
    <t>Warhammer Dark Elf Crossbow Metal</t>
  </si>
  <si>
    <t>Warhammer Adeptus Sororitas Patiente Engine</t>
  </si>
  <si>
    <t>Warhammer High Elf Mage Metal</t>
  </si>
  <si>
    <t>Warhammer Stormcast Sequitors 4x</t>
  </si>
  <si>
    <t>michael jordan cards 2x</t>
  </si>
  <si>
    <t>Skaven Weapons Team</t>
  </si>
  <si>
    <t>Warhammer Stormcast Vanguard Hunters 10X</t>
  </si>
  <si>
    <t>Warhammer High Elf Archers  20x</t>
  </si>
  <si>
    <t>Games Workshop Warhammer 40K Dark Angels Veteran Space Marines Squadron - 44-09</t>
  </si>
  <si>
    <t>Warhammer Skaven Weapons Team</t>
  </si>
  <si>
    <t>Warhammer Dark Elf Cold Ones Metal</t>
  </si>
  <si>
    <t>Warhammer Stormcast Lord Relictor</t>
  </si>
  <si>
    <t>Warhammer Dwarf Command Metal</t>
  </si>
  <si>
    <t>Game Workshop Warhammer Age of Sigmar: Destruction Battletome - Orruk Warclans</t>
  </si>
  <si>
    <t>Warhammer Tactical Squad 10x</t>
  </si>
  <si>
    <t>Warhammer High Elf Spear Men</t>
  </si>
  <si>
    <t>Warhammer Space Marine Scout Metal</t>
  </si>
  <si>
    <t>Mantic Games Kings Of War Basilean And Undead</t>
  </si>
  <si>
    <t>warhammer space marine dreadnought</t>
  </si>
  <si>
    <t>Warhammer Fantasy Beastmen Lord resin chaos beasts of chaos hordes</t>
  </si>
  <si>
    <t>Warhammer Fantasy AOS Stormcast Eternals Knight- Incantor Primed MY175</t>
  </si>
  <si>
    <t>Warhammer Goblin Thrower</t>
  </si>
  <si>
    <t>Warhammer Goblin Spider Riders</t>
  </si>
  <si>
    <t>Warhammer  Dark Elf Repeater Bolt Thrower</t>
  </si>
  <si>
    <t>Idoneth Deepkin Isharann Tidecaster - Warhammer Age of Sigmar - New! 87-27C</t>
  </si>
  <si>
    <t>Warhammer Terminator Squad 5x Space Marine</t>
  </si>
  <si>
    <t xml:space="preserve">Earhammer Space Marine Dreadnought </t>
  </si>
  <si>
    <t>Warhammer Space Marine Terminator Squad  5x</t>
  </si>
  <si>
    <t>Warhammer Adeptus Sororitas Arco Flagellants 3x</t>
  </si>
  <si>
    <t>Warhammer Age of Sigmar Daughters of Khaine Khinerai Heartrenders x5 AoS NoS</t>
  </si>
  <si>
    <t>Warhammer  Stormcast Lord Arcanum</t>
  </si>
  <si>
    <t>Warhammer Skaven Rat Orge</t>
  </si>
  <si>
    <t>warhammer flamers of tzeentch</t>
  </si>
  <si>
    <t>warhammer black knights</t>
  </si>
  <si>
    <t>3x Terradon Riders Warhammer Age Of Sigmar Aos Skinks Ripperdactyl Riders Skink</t>
  </si>
  <si>
    <t>Games Workshop Warhammer Age of Sigmar Orruk Warclans Gutrippaz Citadel...</t>
  </si>
  <si>
    <t>Warhammer Dwarf Berserkers 10x Metal</t>
  </si>
  <si>
    <t xml:space="preserve">Mantic Zombies Painted 9x </t>
  </si>
  <si>
    <t xml:space="preserve">Warhammer Goblin Fanatic 3x </t>
  </si>
  <si>
    <t>Games Workshop Warhammer Age of Sigmar Ironjawz Orruk Brutes Miniatures -...</t>
  </si>
  <si>
    <t>warhammer fantasy dwarf crossbow 8x</t>
  </si>
  <si>
    <t xml:space="preserve">Warhammer Skink Star Priest </t>
  </si>
  <si>
    <t>warhammer zombies Painted 20x</t>
  </si>
  <si>
    <t xml:space="preserve">Warhammer Tzaangor Skyfires </t>
  </si>
  <si>
    <t>warhammer 40k hellbrute</t>
  </si>
  <si>
    <t xml:space="preserve">Warhammer Skink Star priest </t>
  </si>
  <si>
    <t xml:space="preserve">Warhammer Stormcast Tempestors </t>
  </si>
  <si>
    <t xml:space="preserve">Wathammer Dark Elf Regiment </t>
  </si>
  <si>
    <t>Warhammet High Elf Mage On Horse</t>
  </si>
  <si>
    <t>Warhammer Khorne Mighty Skullcrushers 3x</t>
  </si>
  <si>
    <t>Games Workshop Warhammer 40K: Genestealer Cults Sanctus</t>
  </si>
  <si>
    <t>Warhammer Chainrasp 10x</t>
  </si>
  <si>
    <t xml:space="preserve">Warhammer 40K Dark Eldar Drukhari Medusae Finecast OOP </t>
  </si>
  <si>
    <t xml:space="preserve">Warhammer Orruk Megaboss </t>
  </si>
  <si>
    <t>genestealer cult nexos</t>
  </si>
  <si>
    <t xml:space="preserve">Warhammer Goblin Standard / Shaman </t>
  </si>
  <si>
    <t>Genestealer Cults Primus Warhammer 40K Broodcoven Deathwatch Overkill</t>
  </si>
  <si>
    <t>Warhammer Khorne Blood Warriors 10x</t>
  </si>
  <si>
    <t>warhammer 40k tyranid hormagaunts 12x B</t>
  </si>
  <si>
    <t xml:space="preserve">Warhammer Slaanesh Seekers </t>
  </si>
  <si>
    <t>Warhammer Space Marine Scouts</t>
  </si>
  <si>
    <t>Warhammer Dark Vengeance Chaos Space Marine 6x</t>
  </si>
  <si>
    <t>Warhammer Dark Elf Standard Bearer Metal</t>
  </si>
  <si>
    <t>Warhammer Goblin Spearman 10x</t>
  </si>
  <si>
    <t>Warhammer Chaos Cultists Dark Vengeance 10X  , A</t>
  </si>
  <si>
    <t>Games Workshop Warhammer 40K Tyranids Hormagaunts 12 A</t>
  </si>
  <si>
    <t>Warhammer Dwarf Riflemen 12x</t>
  </si>
  <si>
    <t>Warhammer Space Marine Tactical Squad Blue</t>
  </si>
  <si>
    <t xml:space="preserve">Warhammer Dark Elf Bolt Thrower </t>
  </si>
  <si>
    <t>Warhammer Dwarf Axe 8x</t>
  </si>
  <si>
    <t>Warhammer Metal Snotlings 19x</t>
  </si>
  <si>
    <t>Warhammer Dark Elf Infantry Regiment 16x</t>
  </si>
  <si>
    <t>Warhammer Orcs 10x</t>
  </si>
  <si>
    <t xml:space="preserve">Warhammer Leviathan Neurogaunts </t>
  </si>
  <si>
    <t xml:space="preserve">Warhammer Leviathan Neurotyrant </t>
  </si>
  <si>
    <t>Warhammer Mk3 Space Marines 2x</t>
  </si>
  <si>
    <t>Warhammer Dark Vengeance Chaos Lord</t>
  </si>
  <si>
    <t>Warhammer Slaanesh Slickblade Seekers</t>
  </si>
  <si>
    <t>Games Workshop Warhammer 40K Locus Genestealer Cults</t>
  </si>
  <si>
    <t>Warhammer Slaanesh Exalted Chariot</t>
  </si>
  <si>
    <t>Wathammer Painted Blood Angels Standard</t>
  </si>
  <si>
    <t>Warhammer Fantasy Games Day Black Orc</t>
  </si>
  <si>
    <t xml:space="preserve">Warhammer Dwarf Opp </t>
  </si>
  <si>
    <t>Warhammer Opp Dwarf Misc Lot</t>
  </si>
  <si>
    <t>warhammer Adeptus Custodes 5x</t>
  </si>
  <si>
    <t>LEGO Star Wars: 501st Legion Clone Troopers (75280)</t>
  </si>
  <si>
    <t xml:space="preserve">Warhammer Mk 3 Space Marine New On Sprue </t>
  </si>
  <si>
    <t>Warhammer Leviathan Screamer Killer</t>
  </si>
  <si>
    <t>Warhammer Chaos Cultists Dark Vengeance 10x B</t>
  </si>
  <si>
    <t>Warhammer Wood Elf Archers 16x</t>
  </si>
  <si>
    <t>Revenue</t>
  </si>
  <si>
    <t>Order#</t>
  </si>
  <si>
    <t>Order Number</t>
  </si>
  <si>
    <t>Description</t>
  </si>
  <si>
    <t>Date</t>
  </si>
  <si>
    <t>=TEXT(VLOOKUP(R2,A2:D125,2,TRUE),"MM/DD/YY")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</si>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</sst>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5" fontId="0" fillId="0" borderId="0" xfId="0" applyNumberFormat="1"/>
    <xf numFmtId="8" fontId="0" fillId="0" borderId="0" xfId="0" applyNumberFormat="1"/>
    <xf numFmtId="14" fontId="0" fillId="0" borderId="0" xfId="0" applyNumberFormat="1"/>
    <xf numFmtId="0" fontId="0" fillId="0" borderId="0" xfId="0" quotePrefix="1"/>
    <xf numFmtId="0" fontId="16" fillId="0" borderId="0" xfId="0" applyFont="1"/>
    <xf numFmtId="0" fontId="6" fillId="2" borderId="0" xfId="6"/>
    <xf numFmtId="0" fontId="18" fillId="2" borderId="0" xfId="6" applyFont="1"/>
    <xf numFmtId="0" fontId="16" fillId="28" borderId="0" xfId="37" applyFont="1"/>
    <xf numFmtId="0" fontId="8" fillId="4" borderId="0" xfId="8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11</xdr:row>
      <xdr:rowOff>180975</xdr:rowOff>
    </xdr:from>
    <xdr:to>
      <xdr:col>6</xdr:col>
      <xdr:colOff>0</xdr:colOff>
      <xdr:row>14</xdr:row>
      <xdr:rowOff>142875</xdr:rowOff>
    </xdr:to>
    <xdr:sp macro="[0]!ledger_format" textlink="">
      <xdr:nvSpPr>
        <xdr:cNvPr id="2" name="Rectangle 1">
          <a:extLst>
            <a:ext uri="{FF2B5EF4-FFF2-40B4-BE49-F238E27FC236}">
              <a16:creationId xmlns:a16="http://schemas.microsoft.com/office/drawing/2014/main" id="{99145D5D-E0F8-22EF-6D44-6A2A6E8F7B22}"/>
            </a:ext>
          </a:extLst>
        </xdr:cNvPr>
        <xdr:cNvSpPr/>
      </xdr:nvSpPr>
      <xdr:spPr>
        <a:xfrm>
          <a:off x="10448925" y="2276475"/>
          <a:ext cx="1266825" cy="533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Macro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26"/>
  <sheetViews>
    <sheetView tabSelected="1" workbookViewId="0">
      <selection activeCell="G10" sqref="G10"/>
    </sheetView>
  </sheetViews>
  <sheetFormatPr defaultRowHeight="15" x14ac:dyDescent="0.25"/>
  <cols>
    <col min="2" max="2" width="54.140625" customWidth="1"/>
    <col min="4" max="4" width="75.42578125" customWidth="1"/>
    <col min="6" max="6" width="18.7109375" customWidth="1"/>
    <col min="7" max="7" width="50.5703125" customWidth="1"/>
    <col min="17" max="17" width="15.28515625" customWidth="1"/>
    <col min="18" max="18" width="59.42578125" customWidth="1"/>
  </cols>
  <sheetData>
    <row r="1" spans="1:18" x14ac:dyDescent="0.25">
      <c r="A1" s="8" t="s">
        <v>125</v>
      </c>
      <c r="B1" s="8" t="s">
        <v>128</v>
      </c>
      <c r="C1" s="8" t="s">
        <v>124</v>
      </c>
      <c r="D1" s="8" t="s">
        <v>130</v>
      </c>
    </row>
    <row r="2" spans="1:18" x14ac:dyDescent="0.25">
      <c r="A2">
        <v>0</v>
      </c>
      <c r="B2" s="1">
        <v>45284</v>
      </c>
      <c r="C2" s="2">
        <v>39.83</v>
      </c>
      <c r="D2" t="s">
        <v>0</v>
      </c>
      <c r="Q2" s="5" t="s">
        <v>126</v>
      </c>
      <c r="R2">
        <v>5</v>
      </c>
    </row>
    <row r="3" spans="1:18" x14ac:dyDescent="0.25">
      <c r="A3">
        <v>1</v>
      </c>
      <c r="B3" s="1">
        <v>45282</v>
      </c>
      <c r="C3" s="2">
        <v>24.86</v>
      </c>
      <c r="D3" t="s">
        <v>1</v>
      </c>
      <c r="Q3" s="7" t="s">
        <v>124</v>
      </c>
      <c r="R3" s="6">
        <f>VLOOKUP(R2,A2:D125,3,TRUE)</f>
        <v>21.29</v>
      </c>
    </row>
    <row r="4" spans="1:18" x14ac:dyDescent="0.25">
      <c r="A4">
        <v>2</v>
      </c>
      <c r="B4" s="1">
        <v>45280</v>
      </c>
      <c r="C4" s="2">
        <v>20.81</v>
      </c>
      <c r="D4" t="s">
        <v>2</v>
      </c>
      <c r="Q4" s="5" t="s">
        <v>127</v>
      </c>
      <c r="R4" t="str">
        <f>VLOOKUP(R2,A2:D125,4,TRUE)</f>
        <v>Dark Elf Supreme Sorceress Blister Warhammer AOS NIB</v>
      </c>
    </row>
    <row r="5" spans="1:18" x14ac:dyDescent="0.25">
      <c r="A5">
        <v>3</v>
      </c>
      <c r="B5" s="1">
        <v>45279</v>
      </c>
      <c r="C5" s="2">
        <v>18.23</v>
      </c>
      <c r="D5" t="s">
        <v>3</v>
      </c>
      <c r="F5" s="5" t="s">
        <v>126</v>
      </c>
      <c r="G5">
        <v>77</v>
      </c>
      <c r="Q5" s="5" t="s">
        <v>128</v>
      </c>
      <c r="R5" t="str">
        <f>TEXT(VLOOKUP(R2,A2:D125,2,TRUE),"MM/DD/YY")</f>
        <v>12/07/23</v>
      </c>
    </row>
    <row r="6" spans="1:18" x14ac:dyDescent="0.25">
      <c r="A6">
        <v>4</v>
      </c>
      <c r="B6" s="1">
        <v>45273</v>
      </c>
      <c r="C6" s="2">
        <v>10.58</v>
      </c>
      <c r="D6" t="s">
        <v>4</v>
      </c>
      <c r="F6" s="7" t="s">
        <v>124</v>
      </c>
      <c r="G6" s="6">
        <f>VLOOKUP(G5,A2:D125,3,TRUE)</f>
        <v>26.31</v>
      </c>
    </row>
    <row r="7" spans="1:18" x14ac:dyDescent="0.25">
      <c r="A7">
        <v>5</v>
      </c>
      <c r="B7" s="1">
        <v>45267</v>
      </c>
      <c r="C7" s="2">
        <v>21.29</v>
      </c>
      <c r="D7" t="s">
        <v>5</v>
      </c>
      <c r="F7" s="5" t="s">
        <v>127</v>
      </c>
      <c r="G7" t="str">
        <f>VLOOKUP(G5,A2:D125,4,TRUE)</f>
        <v>warhammer zombies Painted 20x</v>
      </c>
      <c r="R7" s="4" t="s">
        <v>129</v>
      </c>
    </row>
    <row r="8" spans="1:18" x14ac:dyDescent="0.25">
      <c r="A8">
        <v>6</v>
      </c>
      <c r="B8" s="1">
        <v>45253</v>
      </c>
      <c r="C8" s="2">
        <v>21.81</v>
      </c>
      <c r="D8" t="s">
        <v>6</v>
      </c>
      <c r="F8" s="5" t="s">
        <v>128</v>
      </c>
      <c r="G8" s="4" t="str">
        <f>TEXT(VLOOKUP(G5,A2:D125,2,TRUE),"MM/DD/YY")</f>
        <v>06/08/23</v>
      </c>
    </row>
    <row r="9" spans="1:18" x14ac:dyDescent="0.25">
      <c r="A9">
        <v>7</v>
      </c>
      <c r="B9" s="1">
        <v>45232</v>
      </c>
      <c r="C9" s="2">
        <v>22.17</v>
      </c>
      <c r="D9" t="s">
        <v>7</v>
      </c>
    </row>
    <row r="10" spans="1:18" x14ac:dyDescent="0.25">
      <c r="A10">
        <v>8</v>
      </c>
      <c r="B10" s="1">
        <v>45229</v>
      </c>
      <c r="C10" s="2">
        <v>32.51</v>
      </c>
      <c r="D10" t="s">
        <v>8</v>
      </c>
      <c r="G10" s="9" t="s">
        <v>129</v>
      </c>
    </row>
    <row r="11" spans="1:18" x14ac:dyDescent="0.25">
      <c r="A11">
        <v>9</v>
      </c>
      <c r="B11" s="1">
        <v>45222</v>
      </c>
      <c r="C11" s="2">
        <v>21.62</v>
      </c>
      <c r="D11" t="s">
        <v>9</v>
      </c>
    </row>
    <row r="12" spans="1:18" x14ac:dyDescent="0.25">
      <c r="A12">
        <v>10</v>
      </c>
      <c r="B12" s="1">
        <v>45205</v>
      </c>
      <c r="C12" s="2">
        <v>34.81</v>
      </c>
      <c r="D12" t="s">
        <v>10</v>
      </c>
    </row>
    <row r="13" spans="1:18" x14ac:dyDescent="0.25">
      <c r="A13">
        <v>11</v>
      </c>
      <c r="B13" s="1">
        <v>45202</v>
      </c>
      <c r="C13" s="2">
        <v>13.24</v>
      </c>
      <c r="D13" t="s">
        <v>11</v>
      </c>
    </row>
    <row r="14" spans="1:18" x14ac:dyDescent="0.25">
      <c r="A14">
        <v>12</v>
      </c>
      <c r="B14" s="1">
        <v>45198</v>
      </c>
      <c r="C14" s="2">
        <v>30.69</v>
      </c>
      <c r="D14" t="s">
        <v>12</v>
      </c>
    </row>
    <row r="15" spans="1:18" x14ac:dyDescent="0.25">
      <c r="A15">
        <v>13</v>
      </c>
      <c r="B15" s="1">
        <v>45197</v>
      </c>
      <c r="C15" s="2">
        <v>14.05</v>
      </c>
      <c r="D15" t="s">
        <v>13</v>
      </c>
    </row>
    <row r="16" spans="1:18" x14ac:dyDescent="0.25">
      <c r="A16">
        <v>14</v>
      </c>
      <c r="B16" s="1">
        <v>45196</v>
      </c>
      <c r="C16" s="2">
        <v>21.55</v>
      </c>
      <c r="D16" t="s">
        <v>14</v>
      </c>
    </row>
    <row r="17" spans="1:4" x14ac:dyDescent="0.25">
      <c r="A17">
        <v>15</v>
      </c>
      <c r="B17" s="1">
        <v>45196</v>
      </c>
      <c r="C17" s="2">
        <v>26.43</v>
      </c>
      <c r="D17" t="s">
        <v>15</v>
      </c>
    </row>
    <row r="18" spans="1:4" x14ac:dyDescent="0.25">
      <c r="A18">
        <v>16</v>
      </c>
      <c r="B18" s="1">
        <v>45191</v>
      </c>
      <c r="C18" s="2">
        <v>35.03</v>
      </c>
      <c r="D18" t="s">
        <v>16</v>
      </c>
    </row>
    <row r="19" spans="1:4" x14ac:dyDescent="0.25">
      <c r="A19">
        <v>17</v>
      </c>
      <c r="B19" s="1">
        <v>45187</v>
      </c>
      <c r="C19" s="2">
        <v>17.93</v>
      </c>
      <c r="D19" t="s">
        <v>17</v>
      </c>
    </row>
    <row r="20" spans="1:4" x14ac:dyDescent="0.25">
      <c r="A20">
        <v>18</v>
      </c>
      <c r="B20" s="1">
        <v>45187</v>
      </c>
      <c r="C20" s="2">
        <v>102.87</v>
      </c>
      <c r="D20" t="s">
        <v>18</v>
      </c>
    </row>
    <row r="21" spans="1:4" x14ac:dyDescent="0.25">
      <c r="A21">
        <v>19</v>
      </c>
      <c r="B21" s="1">
        <v>45187</v>
      </c>
      <c r="C21" s="2">
        <v>17.37</v>
      </c>
      <c r="D21" t="s">
        <v>19</v>
      </c>
    </row>
    <row r="22" spans="1:4" x14ac:dyDescent="0.25">
      <c r="A22">
        <v>20</v>
      </c>
      <c r="B22" s="1">
        <v>45184</v>
      </c>
      <c r="C22" s="2">
        <v>21.64</v>
      </c>
      <c r="D22" t="s">
        <v>20</v>
      </c>
    </row>
    <row r="23" spans="1:4" x14ac:dyDescent="0.25">
      <c r="A23">
        <v>21</v>
      </c>
      <c r="B23" s="1">
        <v>45183</v>
      </c>
      <c r="C23" s="2">
        <v>39.21</v>
      </c>
      <c r="D23" t="s">
        <v>21</v>
      </c>
    </row>
    <row r="24" spans="1:4" x14ac:dyDescent="0.25">
      <c r="A24">
        <v>22</v>
      </c>
      <c r="B24" s="1">
        <v>45183</v>
      </c>
      <c r="C24" s="2">
        <v>34.47</v>
      </c>
      <c r="D24" t="s">
        <v>22</v>
      </c>
    </row>
    <row r="25" spans="1:4" x14ac:dyDescent="0.25">
      <c r="A25">
        <v>23</v>
      </c>
      <c r="B25" s="1">
        <v>45170</v>
      </c>
      <c r="C25" s="2">
        <v>35.01</v>
      </c>
      <c r="D25" t="s">
        <v>23</v>
      </c>
    </row>
    <row r="26" spans="1:4" x14ac:dyDescent="0.25">
      <c r="A26">
        <v>24</v>
      </c>
      <c r="B26" s="1">
        <v>45169</v>
      </c>
      <c r="C26" s="2">
        <v>21.66</v>
      </c>
      <c r="D26" t="s">
        <v>24</v>
      </c>
    </row>
    <row r="27" spans="1:4" x14ac:dyDescent="0.25">
      <c r="A27">
        <v>25</v>
      </c>
      <c r="B27" s="1">
        <v>45161</v>
      </c>
      <c r="C27" s="2">
        <v>38.21</v>
      </c>
      <c r="D27" t="s">
        <v>25</v>
      </c>
    </row>
    <row r="28" spans="1:4" x14ac:dyDescent="0.25">
      <c r="A28">
        <v>26</v>
      </c>
      <c r="B28" s="1">
        <v>45153</v>
      </c>
      <c r="C28" s="2">
        <v>61.82</v>
      </c>
      <c r="D28" t="s">
        <v>26</v>
      </c>
    </row>
    <row r="29" spans="1:4" x14ac:dyDescent="0.25">
      <c r="A29">
        <v>27</v>
      </c>
      <c r="B29" s="1">
        <v>45153</v>
      </c>
      <c r="C29" s="2">
        <v>28.24</v>
      </c>
      <c r="D29" t="s">
        <v>27</v>
      </c>
    </row>
    <row r="30" spans="1:4" x14ac:dyDescent="0.25">
      <c r="A30">
        <v>28</v>
      </c>
      <c r="B30" s="1">
        <v>45152</v>
      </c>
      <c r="C30" s="2">
        <v>26.37</v>
      </c>
      <c r="D30" t="s">
        <v>28</v>
      </c>
    </row>
    <row r="31" spans="1:4" x14ac:dyDescent="0.25">
      <c r="A31">
        <v>29</v>
      </c>
      <c r="B31" s="1">
        <v>45151</v>
      </c>
      <c r="C31" s="2">
        <v>16.84</v>
      </c>
      <c r="D31" t="s">
        <v>19</v>
      </c>
    </row>
    <row r="32" spans="1:4" x14ac:dyDescent="0.25">
      <c r="A32">
        <v>30</v>
      </c>
      <c r="B32" s="1">
        <v>45149</v>
      </c>
      <c r="C32" s="2">
        <v>30.68</v>
      </c>
      <c r="D32" t="s">
        <v>29</v>
      </c>
    </row>
    <row r="33" spans="1:4" x14ac:dyDescent="0.25">
      <c r="A33">
        <v>31</v>
      </c>
      <c r="B33" s="1">
        <v>45149</v>
      </c>
      <c r="C33" s="2">
        <v>18.21</v>
      </c>
      <c r="D33" t="s">
        <v>30</v>
      </c>
    </row>
    <row r="34" spans="1:4" x14ac:dyDescent="0.25">
      <c r="A34">
        <v>32</v>
      </c>
      <c r="B34" s="1">
        <v>45148</v>
      </c>
      <c r="C34" s="2">
        <v>16.64</v>
      </c>
      <c r="D34" t="s">
        <v>31</v>
      </c>
    </row>
    <row r="35" spans="1:4" x14ac:dyDescent="0.25">
      <c r="A35">
        <v>33</v>
      </c>
      <c r="B35" s="1">
        <v>45148</v>
      </c>
      <c r="C35" s="2">
        <v>33.86</v>
      </c>
      <c r="D35" t="s">
        <v>32</v>
      </c>
    </row>
    <row r="36" spans="1:4" x14ac:dyDescent="0.25">
      <c r="A36">
        <v>34</v>
      </c>
      <c r="B36" s="1">
        <v>45146</v>
      </c>
      <c r="C36" s="2">
        <v>32.54</v>
      </c>
      <c r="D36" t="s">
        <v>33</v>
      </c>
    </row>
    <row r="37" spans="1:4" x14ac:dyDescent="0.25">
      <c r="A37">
        <v>35</v>
      </c>
      <c r="B37" s="1">
        <v>45143</v>
      </c>
      <c r="C37" s="2">
        <v>17.89</v>
      </c>
      <c r="D37" t="s">
        <v>34</v>
      </c>
    </row>
    <row r="38" spans="1:4" x14ac:dyDescent="0.25">
      <c r="A38">
        <v>36</v>
      </c>
      <c r="B38" s="1">
        <v>45142</v>
      </c>
      <c r="C38" s="2">
        <v>17.87</v>
      </c>
      <c r="D38" t="s">
        <v>35</v>
      </c>
    </row>
    <row r="39" spans="1:4" x14ac:dyDescent="0.25">
      <c r="A39">
        <v>37</v>
      </c>
      <c r="B39" s="1">
        <v>45141</v>
      </c>
      <c r="C39" s="2">
        <v>10.53</v>
      </c>
      <c r="D39" t="s">
        <v>36</v>
      </c>
    </row>
    <row r="40" spans="1:4" x14ac:dyDescent="0.25">
      <c r="A40">
        <v>38</v>
      </c>
      <c r="B40" s="1">
        <v>45137</v>
      </c>
      <c r="C40" s="2">
        <v>15.73</v>
      </c>
      <c r="D40" t="s">
        <v>37</v>
      </c>
    </row>
    <row r="41" spans="1:4" x14ac:dyDescent="0.25">
      <c r="A41">
        <v>39</v>
      </c>
      <c r="B41" s="1">
        <v>45134</v>
      </c>
      <c r="C41" s="2">
        <v>1.04</v>
      </c>
      <c r="D41" t="s">
        <v>38</v>
      </c>
    </row>
    <row r="42" spans="1:4" x14ac:dyDescent="0.25">
      <c r="A42">
        <v>40</v>
      </c>
      <c r="B42" s="1">
        <v>45133</v>
      </c>
      <c r="C42" s="2">
        <v>12.36</v>
      </c>
      <c r="D42" t="s">
        <v>39</v>
      </c>
    </row>
    <row r="43" spans="1:4" x14ac:dyDescent="0.25">
      <c r="A43">
        <v>41</v>
      </c>
      <c r="B43" s="1">
        <v>45132</v>
      </c>
      <c r="C43" s="2">
        <v>25.76</v>
      </c>
      <c r="D43" t="s">
        <v>40</v>
      </c>
    </row>
    <row r="44" spans="1:4" x14ac:dyDescent="0.25">
      <c r="A44">
        <v>42</v>
      </c>
      <c r="B44" s="1">
        <v>45132</v>
      </c>
      <c r="C44" s="2">
        <v>22.75</v>
      </c>
      <c r="D44" t="s">
        <v>41</v>
      </c>
    </row>
    <row r="45" spans="1:4" x14ac:dyDescent="0.25">
      <c r="A45">
        <v>43</v>
      </c>
      <c r="B45" s="1">
        <v>45131</v>
      </c>
      <c r="C45" s="2">
        <v>49.1</v>
      </c>
      <c r="D45" t="s">
        <v>42</v>
      </c>
    </row>
    <row r="46" spans="1:4" x14ac:dyDescent="0.25">
      <c r="A46">
        <v>44</v>
      </c>
      <c r="B46" s="1">
        <v>45128</v>
      </c>
      <c r="C46" s="2">
        <v>12.76</v>
      </c>
      <c r="D46" t="s">
        <v>43</v>
      </c>
    </row>
    <row r="47" spans="1:4" x14ac:dyDescent="0.25">
      <c r="A47">
        <v>45</v>
      </c>
      <c r="B47" s="1">
        <v>45127</v>
      </c>
      <c r="C47" s="2">
        <v>42.29</v>
      </c>
      <c r="D47" t="s">
        <v>44</v>
      </c>
    </row>
    <row r="48" spans="1:4" x14ac:dyDescent="0.25">
      <c r="A48">
        <v>46</v>
      </c>
      <c r="B48" s="1">
        <v>45127</v>
      </c>
      <c r="C48" s="2">
        <v>18.78</v>
      </c>
      <c r="D48" t="s">
        <v>45</v>
      </c>
    </row>
    <row r="49" spans="1:4" x14ac:dyDescent="0.25">
      <c r="A49">
        <v>47</v>
      </c>
      <c r="B49" s="1">
        <v>45126</v>
      </c>
      <c r="C49" s="2">
        <v>22.51</v>
      </c>
      <c r="D49" t="s">
        <v>46</v>
      </c>
    </row>
    <row r="50" spans="1:4" x14ac:dyDescent="0.25">
      <c r="A50">
        <v>48</v>
      </c>
      <c r="B50" s="1">
        <v>45126</v>
      </c>
      <c r="C50" s="2">
        <v>21.12</v>
      </c>
      <c r="D50" t="s">
        <v>47</v>
      </c>
    </row>
    <row r="51" spans="1:4" x14ac:dyDescent="0.25">
      <c r="A51">
        <v>49</v>
      </c>
      <c r="B51" s="1">
        <v>45125</v>
      </c>
      <c r="C51" s="2">
        <v>17.89</v>
      </c>
      <c r="D51" t="s">
        <v>48</v>
      </c>
    </row>
    <row r="52" spans="1:4" x14ac:dyDescent="0.25">
      <c r="A52">
        <v>50</v>
      </c>
      <c r="B52" s="1">
        <v>45122</v>
      </c>
      <c r="C52" s="2">
        <v>26</v>
      </c>
      <c r="D52" t="s">
        <v>49</v>
      </c>
    </row>
    <row r="53" spans="1:4" x14ac:dyDescent="0.25">
      <c r="A53">
        <v>51</v>
      </c>
      <c r="B53" s="1">
        <v>45120</v>
      </c>
      <c r="C53" s="2">
        <v>21.65</v>
      </c>
      <c r="D53" t="s">
        <v>50</v>
      </c>
    </row>
    <row r="54" spans="1:4" x14ac:dyDescent="0.25">
      <c r="A54">
        <v>52</v>
      </c>
      <c r="B54" s="1">
        <v>45120</v>
      </c>
      <c r="C54" s="2">
        <v>3.54</v>
      </c>
      <c r="D54" t="s">
        <v>51</v>
      </c>
    </row>
    <row r="55" spans="1:4" x14ac:dyDescent="0.25">
      <c r="A55">
        <v>53</v>
      </c>
      <c r="B55" s="1">
        <v>45120</v>
      </c>
      <c r="C55" s="2">
        <v>22.3</v>
      </c>
      <c r="D55" t="s">
        <v>52</v>
      </c>
    </row>
    <row r="56" spans="1:4" x14ac:dyDescent="0.25">
      <c r="A56">
        <v>54</v>
      </c>
      <c r="B56" s="1">
        <v>45119</v>
      </c>
      <c r="C56" s="2">
        <v>68.52</v>
      </c>
      <c r="D56" t="s">
        <v>53</v>
      </c>
    </row>
    <row r="57" spans="1:4" x14ac:dyDescent="0.25">
      <c r="A57">
        <v>55</v>
      </c>
      <c r="B57" s="1">
        <v>45118</v>
      </c>
      <c r="C57" s="2">
        <v>22.09</v>
      </c>
      <c r="D57" t="s">
        <v>54</v>
      </c>
    </row>
    <row r="58" spans="1:4" x14ac:dyDescent="0.25">
      <c r="A58">
        <v>56</v>
      </c>
      <c r="B58" s="1">
        <v>45118</v>
      </c>
      <c r="C58" s="2">
        <v>26.35</v>
      </c>
      <c r="D58" t="s">
        <v>55</v>
      </c>
    </row>
    <row r="59" spans="1:4" x14ac:dyDescent="0.25">
      <c r="A59">
        <v>57</v>
      </c>
      <c r="B59" s="1">
        <v>45117</v>
      </c>
      <c r="C59" s="2">
        <v>41.04</v>
      </c>
      <c r="D59" t="s">
        <v>56</v>
      </c>
    </row>
    <row r="60" spans="1:4" x14ac:dyDescent="0.25">
      <c r="A60">
        <v>58</v>
      </c>
      <c r="B60" s="1">
        <v>45115</v>
      </c>
      <c r="C60" s="2">
        <v>48</v>
      </c>
      <c r="D60" t="s">
        <v>57</v>
      </c>
    </row>
    <row r="61" spans="1:4" x14ac:dyDescent="0.25">
      <c r="A61">
        <v>59</v>
      </c>
      <c r="B61" s="1">
        <v>45114</v>
      </c>
      <c r="C61" s="2">
        <v>18.28</v>
      </c>
      <c r="D61" t="s">
        <v>58</v>
      </c>
    </row>
    <row r="62" spans="1:4" x14ac:dyDescent="0.25">
      <c r="A62">
        <v>60</v>
      </c>
      <c r="B62" s="1">
        <v>45114</v>
      </c>
      <c r="C62" s="2">
        <v>23.47</v>
      </c>
      <c r="D62" t="s">
        <v>59</v>
      </c>
    </row>
    <row r="63" spans="1:4" x14ac:dyDescent="0.25">
      <c r="A63">
        <v>61</v>
      </c>
      <c r="B63" s="1">
        <v>45114</v>
      </c>
      <c r="C63" s="2">
        <v>22.2</v>
      </c>
      <c r="D63" t="s">
        <v>60</v>
      </c>
    </row>
    <row r="64" spans="1:4" x14ac:dyDescent="0.25">
      <c r="A64">
        <v>62</v>
      </c>
      <c r="B64" s="1">
        <v>45113</v>
      </c>
      <c r="C64" s="2">
        <v>23.59</v>
      </c>
      <c r="D64" t="s">
        <v>61</v>
      </c>
    </row>
    <row r="65" spans="1:4" x14ac:dyDescent="0.25">
      <c r="A65">
        <v>63</v>
      </c>
      <c r="B65" s="1">
        <v>45107</v>
      </c>
      <c r="C65" s="2">
        <v>9.75</v>
      </c>
      <c r="D65" t="s">
        <v>62</v>
      </c>
    </row>
    <row r="66" spans="1:4" x14ac:dyDescent="0.25">
      <c r="A66">
        <v>64</v>
      </c>
      <c r="B66" s="1">
        <v>45101</v>
      </c>
      <c r="C66" s="2">
        <v>30.31</v>
      </c>
      <c r="D66" t="s">
        <v>63</v>
      </c>
    </row>
    <row r="67" spans="1:4" x14ac:dyDescent="0.25">
      <c r="A67">
        <v>65</v>
      </c>
      <c r="B67" s="1">
        <v>45096</v>
      </c>
      <c r="C67" s="2">
        <v>21.21</v>
      </c>
      <c r="D67" t="s">
        <v>64</v>
      </c>
    </row>
    <row r="68" spans="1:4" x14ac:dyDescent="0.25">
      <c r="A68">
        <v>66</v>
      </c>
      <c r="B68" s="1">
        <v>45095</v>
      </c>
      <c r="C68" s="2">
        <v>26.86</v>
      </c>
      <c r="D68" t="s">
        <v>65</v>
      </c>
    </row>
    <row r="69" spans="1:4" x14ac:dyDescent="0.25">
      <c r="A69">
        <v>67</v>
      </c>
      <c r="B69" s="1">
        <v>45093</v>
      </c>
      <c r="C69" s="2">
        <v>18.899999999999999</v>
      </c>
      <c r="D69" t="s">
        <v>66</v>
      </c>
    </row>
    <row r="70" spans="1:4" x14ac:dyDescent="0.25">
      <c r="A70">
        <v>68</v>
      </c>
      <c r="B70" s="1">
        <v>45093</v>
      </c>
      <c r="C70" s="2">
        <v>35.1</v>
      </c>
      <c r="D70" t="s">
        <v>67</v>
      </c>
    </row>
    <row r="71" spans="1:4" x14ac:dyDescent="0.25">
      <c r="A71">
        <v>69</v>
      </c>
      <c r="B71" s="1">
        <v>45092</v>
      </c>
      <c r="C71" s="2">
        <v>34.81</v>
      </c>
      <c r="D71" t="s">
        <v>68</v>
      </c>
    </row>
    <row r="72" spans="1:4" x14ac:dyDescent="0.25">
      <c r="A72">
        <v>70</v>
      </c>
      <c r="B72" s="1">
        <v>45092</v>
      </c>
      <c r="C72" s="2">
        <v>25.39</v>
      </c>
      <c r="D72" t="s">
        <v>69</v>
      </c>
    </row>
    <row r="73" spans="1:4" x14ac:dyDescent="0.25">
      <c r="A73">
        <v>71</v>
      </c>
      <c r="B73" s="1">
        <v>45091</v>
      </c>
      <c r="C73" s="2">
        <v>102.6</v>
      </c>
      <c r="D73" t="s">
        <v>70</v>
      </c>
    </row>
    <row r="74" spans="1:4" x14ac:dyDescent="0.25">
      <c r="A74">
        <v>72</v>
      </c>
      <c r="B74" s="1">
        <v>45091</v>
      </c>
      <c r="C74" s="2">
        <v>8.86</v>
      </c>
      <c r="D74" t="s">
        <v>71</v>
      </c>
    </row>
    <row r="75" spans="1:4" x14ac:dyDescent="0.25">
      <c r="A75">
        <v>73</v>
      </c>
      <c r="B75" s="1">
        <v>45091</v>
      </c>
      <c r="C75" s="2">
        <v>19.55</v>
      </c>
      <c r="D75" t="s">
        <v>72</v>
      </c>
    </row>
    <row r="76" spans="1:4" x14ac:dyDescent="0.25">
      <c r="A76">
        <v>74</v>
      </c>
      <c r="B76" s="1">
        <v>45089</v>
      </c>
      <c r="C76" s="2">
        <v>36.35</v>
      </c>
      <c r="D76" t="s">
        <v>73</v>
      </c>
    </row>
    <row r="77" spans="1:4" x14ac:dyDescent="0.25">
      <c r="A77">
        <v>75</v>
      </c>
      <c r="B77" s="1">
        <v>45088</v>
      </c>
      <c r="C77" s="2">
        <v>15.75</v>
      </c>
      <c r="D77" t="s">
        <v>74</v>
      </c>
    </row>
    <row r="78" spans="1:4" x14ac:dyDescent="0.25">
      <c r="A78">
        <v>76</v>
      </c>
      <c r="B78" s="1">
        <v>45086</v>
      </c>
      <c r="C78" s="2">
        <v>24.99</v>
      </c>
      <c r="D78" t="s">
        <v>75</v>
      </c>
    </row>
    <row r="79" spans="1:4" x14ac:dyDescent="0.25">
      <c r="A79">
        <v>77</v>
      </c>
      <c r="B79" s="1">
        <v>45085</v>
      </c>
      <c r="C79" s="2">
        <v>26.31</v>
      </c>
      <c r="D79" t="s">
        <v>76</v>
      </c>
    </row>
    <row r="80" spans="1:4" x14ac:dyDescent="0.25">
      <c r="A80">
        <v>78</v>
      </c>
      <c r="B80" s="1">
        <v>45084</v>
      </c>
      <c r="C80" s="2">
        <v>23.12</v>
      </c>
      <c r="D80" t="s">
        <v>77</v>
      </c>
    </row>
    <row r="81" spans="1:4" x14ac:dyDescent="0.25">
      <c r="A81">
        <v>79</v>
      </c>
      <c r="B81" s="1">
        <v>45084</v>
      </c>
      <c r="C81" s="2">
        <v>21.76</v>
      </c>
      <c r="D81" t="s">
        <v>78</v>
      </c>
    </row>
    <row r="82" spans="1:4" x14ac:dyDescent="0.25">
      <c r="A82">
        <v>80</v>
      </c>
      <c r="B82" s="1">
        <v>45083</v>
      </c>
      <c r="C82" s="2">
        <v>17.39</v>
      </c>
      <c r="D82" t="s">
        <v>79</v>
      </c>
    </row>
    <row r="83" spans="1:4" x14ac:dyDescent="0.25">
      <c r="A83">
        <v>81</v>
      </c>
      <c r="B83" s="1">
        <v>45083</v>
      </c>
      <c r="C83" s="2">
        <v>37.58</v>
      </c>
      <c r="D83" t="s">
        <v>80</v>
      </c>
    </row>
    <row r="84" spans="1:4" x14ac:dyDescent="0.25">
      <c r="A84">
        <v>82</v>
      </c>
      <c r="B84" s="1">
        <v>45314</v>
      </c>
      <c r="C84" s="2">
        <v>43.84</v>
      </c>
      <c r="D84" t="s">
        <v>81</v>
      </c>
    </row>
    <row r="85" spans="1:4" x14ac:dyDescent="0.25">
      <c r="A85">
        <v>83</v>
      </c>
      <c r="B85" s="1">
        <v>45314</v>
      </c>
      <c r="C85" s="2">
        <v>14.59</v>
      </c>
      <c r="D85" t="s">
        <v>82</v>
      </c>
    </row>
    <row r="86" spans="1:4" x14ac:dyDescent="0.25">
      <c r="A86">
        <v>84</v>
      </c>
      <c r="B86" s="1">
        <v>45312</v>
      </c>
      <c r="C86" s="2">
        <v>51.03</v>
      </c>
      <c r="D86" t="s">
        <v>83</v>
      </c>
    </row>
    <row r="87" spans="1:4" x14ac:dyDescent="0.25">
      <c r="A87">
        <v>85</v>
      </c>
      <c r="B87" s="1">
        <v>45309</v>
      </c>
      <c r="C87" s="2">
        <v>19.690000000000001</v>
      </c>
      <c r="D87" t="s">
        <v>84</v>
      </c>
    </row>
    <row r="88" spans="1:4" x14ac:dyDescent="0.25">
      <c r="A88">
        <v>86</v>
      </c>
      <c r="B88" s="1">
        <v>45309</v>
      </c>
      <c r="C88" s="2">
        <v>14.22</v>
      </c>
      <c r="D88" t="s">
        <v>85</v>
      </c>
    </row>
    <row r="89" spans="1:4" x14ac:dyDescent="0.25">
      <c r="A89">
        <v>87</v>
      </c>
      <c r="B89" s="1">
        <v>45308</v>
      </c>
      <c r="C89" s="2">
        <v>69.02</v>
      </c>
      <c r="D89" t="s">
        <v>86</v>
      </c>
    </row>
    <row r="90" spans="1:4" x14ac:dyDescent="0.25">
      <c r="A90">
        <v>88</v>
      </c>
      <c r="B90" s="1">
        <v>45308</v>
      </c>
      <c r="C90" s="2">
        <v>26.22</v>
      </c>
      <c r="D90" t="s">
        <v>87</v>
      </c>
    </row>
    <row r="91" spans="1:4" x14ac:dyDescent="0.25">
      <c r="A91">
        <v>89</v>
      </c>
      <c r="B91" s="1">
        <v>45307</v>
      </c>
      <c r="C91" s="2">
        <v>17.93</v>
      </c>
      <c r="D91" t="s">
        <v>88</v>
      </c>
    </row>
    <row r="92" spans="1:4" x14ac:dyDescent="0.25">
      <c r="A92">
        <v>90</v>
      </c>
      <c r="B92" s="1">
        <v>45307</v>
      </c>
      <c r="C92" s="2">
        <v>5.35</v>
      </c>
      <c r="D92" t="s">
        <v>89</v>
      </c>
    </row>
    <row r="93" spans="1:4" x14ac:dyDescent="0.25">
      <c r="A93">
        <v>91</v>
      </c>
      <c r="B93" s="1">
        <v>45306</v>
      </c>
      <c r="C93" s="2">
        <v>35.549999999999997</v>
      </c>
      <c r="D93" t="s">
        <v>90</v>
      </c>
    </row>
    <row r="94" spans="1:4" x14ac:dyDescent="0.25">
      <c r="A94">
        <v>92</v>
      </c>
      <c r="B94" s="1">
        <v>45306</v>
      </c>
      <c r="C94" s="2">
        <v>30.44</v>
      </c>
      <c r="D94" t="s">
        <v>91</v>
      </c>
    </row>
    <row r="95" spans="1:4" x14ac:dyDescent="0.25">
      <c r="A95">
        <v>93</v>
      </c>
      <c r="B95" s="1">
        <v>45306</v>
      </c>
      <c r="C95" s="2">
        <v>29.06</v>
      </c>
      <c r="D95" t="s">
        <v>92</v>
      </c>
    </row>
    <row r="96" spans="1:4" x14ac:dyDescent="0.25">
      <c r="A96">
        <v>94</v>
      </c>
      <c r="B96" s="1">
        <v>45305</v>
      </c>
      <c r="C96" s="2">
        <v>34.58</v>
      </c>
      <c r="D96" t="s">
        <v>93</v>
      </c>
    </row>
    <row r="97" spans="1:4" x14ac:dyDescent="0.25">
      <c r="A97">
        <v>95</v>
      </c>
      <c r="B97" s="1">
        <v>45305</v>
      </c>
      <c r="C97" s="2">
        <v>23.09</v>
      </c>
      <c r="D97" t="s">
        <v>94</v>
      </c>
    </row>
    <row r="98" spans="1:4" x14ac:dyDescent="0.25">
      <c r="A98">
        <v>96</v>
      </c>
      <c r="B98" s="1">
        <v>45305</v>
      </c>
      <c r="C98" s="2">
        <v>28.16</v>
      </c>
      <c r="D98" t="s">
        <v>95</v>
      </c>
    </row>
    <row r="99" spans="1:4" x14ac:dyDescent="0.25">
      <c r="A99">
        <v>97</v>
      </c>
      <c r="B99" s="1">
        <v>45306</v>
      </c>
      <c r="C99" s="2">
        <v>38.46</v>
      </c>
      <c r="D99" t="s">
        <v>96</v>
      </c>
    </row>
    <row r="100" spans="1:4" x14ac:dyDescent="0.25">
      <c r="A100">
        <v>98</v>
      </c>
      <c r="B100" s="1">
        <v>45305</v>
      </c>
      <c r="C100" s="2">
        <v>17.39</v>
      </c>
      <c r="D100" t="s">
        <v>97</v>
      </c>
    </row>
    <row r="101" spans="1:4" x14ac:dyDescent="0.25">
      <c r="A101">
        <v>99</v>
      </c>
      <c r="B101" s="1">
        <v>45303</v>
      </c>
      <c r="C101" s="2">
        <v>26.39</v>
      </c>
      <c r="D101" t="s">
        <v>98</v>
      </c>
    </row>
    <row r="102" spans="1:4" x14ac:dyDescent="0.25">
      <c r="A102">
        <v>100</v>
      </c>
      <c r="B102" s="1">
        <v>45302</v>
      </c>
      <c r="C102" s="2">
        <v>31.35</v>
      </c>
      <c r="D102" t="s">
        <v>99</v>
      </c>
    </row>
    <row r="103" spans="1:4" x14ac:dyDescent="0.25">
      <c r="A103">
        <v>101</v>
      </c>
      <c r="B103" s="1">
        <v>45301</v>
      </c>
      <c r="C103" s="2">
        <v>19.93</v>
      </c>
      <c r="D103" t="s">
        <v>100</v>
      </c>
    </row>
    <row r="104" spans="1:4" x14ac:dyDescent="0.25">
      <c r="A104">
        <v>102</v>
      </c>
      <c r="B104" s="1">
        <v>45301</v>
      </c>
      <c r="C104" s="2">
        <v>14.49</v>
      </c>
      <c r="D104" t="s">
        <v>101</v>
      </c>
    </row>
    <row r="105" spans="1:4" x14ac:dyDescent="0.25">
      <c r="A105">
        <v>103</v>
      </c>
      <c r="B105" s="1">
        <v>45301</v>
      </c>
      <c r="C105" s="2">
        <v>26.5</v>
      </c>
      <c r="D105" t="s">
        <v>102</v>
      </c>
    </row>
    <row r="106" spans="1:4" x14ac:dyDescent="0.25">
      <c r="A106">
        <v>104</v>
      </c>
      <c r="B106" s="1">
        <v>45300</v>
      </c>
      <c r="C106" s="2">
        <v>18.16</v>
      </c>
      <c r="D106" t="s">
        <v>103</v>
      </c>
    </row>
    <row r="107" spans="1:4" x14ac:dyDescent="0.25">
      <c r="A107">
        <v>105</v>
      </c>
      <c r="B107" s="1">
        <v>45300</v>
      </c>
      <c r="C107" s="2">
        <v>37.65</v>
      </c>
      <c r="D107" t="s">
        <v>104</v>
      </c>
    </row>
    <row r="108" spans="1:4" x14ac:dyDescent="0.25">
      <c r="A108">
        <v>106</v>
      </c>
      <c r="B108" s="1">
        <v>45298</v>
      </c>
      <c r="C108" s="2">
        <v>26.4</v>
      </c>
      <c r="D108" t="s">
        <v>105</v>
      </c>
    </row>
    <row r="109" spans="1:4" x14ac:dyDescent="0.25">
      <c r="A109">
        <v>107</v>
      </c>
      <c r="B109" s="1">
        <v>45297</v>
      </c>
      <c r="C109" s="2">
        <v>16.14</v>
      </c>
      <c r="D109" t="s">
        <v>106</v>
      </c>
    </row>
    <row r="110" spans="1:4" x14ac:dyDescent="0.25">
      <c r="A110">
        <v>108</v>
      </c>
      <c r="B110" s="1">
        <v>45297</v>
      </c>
      <c r="C110" s="2">
        <v>10.17</v>
      </c>
      <c r="D110" t="s">
        <v>107</v>
      </c>
    </row>
    <row r="111" spans="1:4" x14ac:dyDescent="0.25">
      <c r="A111">
        <v>109</v>
      </c>
      <c r="B111" s="1">
        <v>45297</v>
      </c>
      <c r="C111" s="2">
        <v>17.98</v>
      </c>
      <c r="D111" t="s">
        <v>108</v>
      </c>
    </row>
    <row r="112" spans="1:4" x14ac:dyDescent="0.25">
      <c r="A112">
        <v>110</v>
      </c>
      <c r="B112" s="1">
        <v>45296</v>
      </c>
      <c r="C112" s="2">
        <v>2.4300000000000002</v>
      </c>
      <c r="D112" t="s">
        <v>109</v>
      </c>
    </row>
    <row r="113" spans="1:4" x14ac:dyDescent="0.25">
      <c r="A113">
        <v>111</v>
      </c>
      <c r="B113" s="1">
        <v>45296</v>
      </c>
      <c r="C113" s="2">
        <v>18.84</v>
      </c>
      <c r="D113" t="s">
        <v>110</v>
      </c>
    </row>
    <row r="114" spans="1:4" x14ac:dyDescent="0.25">
      <c r="A114">
        <v>112</v>
      </c>
      <c r="B114" s="1">
        <v>45296</v>
      </c>
      <c r="C114" s="2">
        <v>36.380000000000003</v>
      </c>
      <c r="D114" t="s">
        <v>111</v>
      </c>
    </row>
    <row r="115" spans="1:4" x14ac:dyDescent="0.25">
      <c r="A115">
        <v>113</v>
      </c>
      <c r="B115" s="1">
        <v>45296</v>
      </c>
      <c r="C115" s="2">
        <v>17.84</v>
      </c>
      <c r="D115" t="s">
        <v>112</v>
      </c>
    </row>
    <row r="116" spans="1:4" x14ac:dyDescent="0.25">
      <c r="A116">
        <v>114</v>
      </c>
      <c r="B116" s="1">
        <v>45296</v>
      </c>
      <c r="C116" s="2">
        <v>45.4</v>
      </c>
      <c r="D116" t="s">
        <v>113</v>
      </c>
    </row>
    <row r="117" spans="1:4" x14ac:dyDescent="0.25">
      <c r="A117">
        <v>115</v>
      </c>
      <c r="B117" s="1">
        <v>45296</v>
      </c>
      <c r="C117" s="2">
        <v>2.4500000000000002</v>
      </c>
      <c r="D117" t="s">
        <v>114</v>
      </c>
    </row>
    <row r="118" spans="1:4" x14ac:dyDescent="0.25">
      <c r="A118">
        <v>116</v>
      </c>
      <c r="B118" s="1">
        <v>45296</v>
      </c>
      <c r="C118" s="2">
        <v>39.380000000000003</v>
      </c>
      <c r="D118" t="s">
        <v>115</v>
      </c>
    </row>
    <row r="119" spans="1:4" x14ac:dyDescent="0.25">
      <c r="A119">
        <v>117</v>
      </c>
      <c r="B119" s="1">
        <v>45296</v>
      </c>
      <c r="C119" s="2">
        <v>5.38</v>
      </c>
      <c r="D119" t="s">
        <v>116</v>
      </c>
    </row>
    <row r="120" spans="1:4" x14ac:dyDescent="0.25">
      <c r="A120">
        <v>118</v>
      </c>
      <c r="B120" s="1">
        <v>45294</v>
      </c>
      <c r="C120" s="2">
        <v>18.64</v>
      </c>
      <c r="D120" t="s">
        <v>117</v>
      </c>
    </row>
    <row r="121" spans="1:4" x14ac:dyDescent="0.25">
      <c r="A121">
        <v>119</v>
      </c>
      <c r="B121" s="1">
        <v>45294</v>
      </c>
      <c r="C121" s="2">
        <v>35.54</v>
      </c>
      <c r="D121" t="s">
        <v>118</v>
      </c>
    </row>
    <row r="122" spans="1:4" x14ac:dyDescent="0.25">
      <c r="A122">
        <v>120</v>
      </c>
      <c r="B122" s="1">
        <v>45294</v>
      </c>
      <c r="C122" s="2">
        <v>31.97</v>
      </c>
      <c r="D122" t="s">
        <v>119</v>
      </c>
    </row>
    <row r="123" spans="1:4" x14ac:dyDescent="0.25">
      <c r="A123">
        <v>121</v>
      </c>
      <c r="B123" s="1">
        <v>45293</v>
      </c>
      <c r="C123" s="2">
        <v>26.43</v>
      </c>
      <c r="D123" t="s">
        <v>120</v>
      </c>
    </row>
    <row r="124" spans="1:4" x14ac:dyDescent="0.25">
      <c r="A124">
        <v>122</v>
      </c>
      <c r="B124" s="1">
        <v>45293</v>
      </c>
      <c r="C124" s="2">
        <v>26.34</v>
      </c>
      <c r="D124" t="s">
        <v>121</v>
      </c>
    </row>
    <row r="125" spans="1:4" x14ac:dyDescent="0.25">
      <c r="A125">
        <v>123</v>
      </c>
      <c r="B125" s="1">
        <v>45293</v>
      </c>
      <c r="C125" s="2">
        <v>26.44</v>
      </c>
      <c r="D125" t="s">
        <v>122</v>
      </c>
    </row>
    <row r="126" spans="1:4" x14ac:dyDescent="0.25">
      <c r="A126">
        <v>124</v>
      </c>
      <c r="B126" s="1">
        <v>45292</v>
      </c>
      <c r="C126" s="2">
        <v>26.15</v>
      </c>
      <c r="D126" t="s">
        <v>123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2:D251"/>
  <sheetViews>
    <sheetView workbookViewId="0">
      <selection sqref="A1:XFD1048576"/>
    </sheetView>
  </sheetViews>
  <sheetFormatPr defaultRowHeight="15" x14ac:dyDescent="0.25"/>
  <cols>
    <col min="4" max="4" width="14.140625" customWidth="1"/>
    <col min="5" max="5" width="28.7109375" customWidth="1"/>
  </cols>
  <sheetData>
    <row r="2" spans="4:4" x14ac:dyDescent="0.25">
      <c r="D2" s="3"/>
    </row>
    <row r="3" spans="4:4" x14ac:dyDescent="0.25">
      <c r="D3" s="3"/>
    </row>
    <row r="4" spans="4:4" x14ac:dyDescent="0.25">
      <c r="D4" s="3"/>
    </row>
    <row r="5" spans="4:4" x14ac:dyDescent="0.25">
      <c r="D5" s="3"/>
    </row>
    <row r="6" spans="4:4" x14ac:dyDescent="0.25">
      <c r="D6" s="3"/>
    </row>
    <row r="7" spans="4:4" x14ac:dyDescent="0.25">
      <c r="D7" s="3"/>
    </row>
    <row r="8" spans="4:4" x14ac:dyDescent="0.25">
      <c r="D8" s="3"/>
    </row>
    <row r="9" spans="4:4" x14ac:dyDescent="0.25">
      <c r="D9" s="3"/>
    </row>
    <row r="10" spans="4:4" x14ac:dyDescent="0.25">
      <c r="D10" s="3"/>
    </row>
    <row r="11" spans="4:4" x14ac:dyDescent="0.25">
      <c r="D11" s="3"/>
    </row>
    <row r="12" spans="4:4" x14ac:dyDescent="0.25">
      <c r="D12" s="3"/>
    </row>
    <row r="13" spans="4:4" x14ac:dyDescent="0.25">
      <c r="D13" s="3"/>
    </row>
    <row r="14" spans="4:4" x14ac:dyDescent="0.25">
      <c r="D14" s="3"/>
    </row>
    <row r="15" spans="4:4" x14ac:dyDescent="0.25">
      <c r="D15" s="3"/>
    </row>
    <row r="16" spans="4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ebay_sales</vt:lpstr>
      <vt:lpstr>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mizerny</dc:creator>
  <cp:lastModifiedBy>nicholas mizerny</cp:lastModifiedBy>
  <dcterms:created xsi:type="dcterms:W3CDTF">2024-01-28T01:22:02Z</dcterms:created>
  <dcterms:modified xsi:type="dcterms:W3CDTF">2024-01-31T19:23:40Z</dcterms:modified>
</cp:coreProperties>
</file>